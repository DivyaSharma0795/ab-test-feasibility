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lculator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<sst xmlns="http://schemas.openxmlformats.org/spreadsheetml/2006/main" count="76" uniqueCount="73">
  <si>
    <t xml:space="preserve">A/B Test MDD &amp; Sample Size Calculator</t>
  </si>
  <si>
    <t xml:space="preserve">Edit the yellow cells (blue text). Everything else recalculates. Each treatment arm is tested against control.</t>
  </si>
  <si>
    <t xml:space="preserve">INPUTS</t>
  </si>
  <si>
    <t xml:space="preserve">NOTES &amp; ASSUMPTIONS</t>
  </si>
  <si>
    <t xml:space="preserve">Metric type</t>
  </si>
  <si>
    <t xml:space="preserve">Proportion</t>
  </si>
  <si>
    <t xml:space="preserve">Proportion (conversion/response) or Continuous (spend, balance)</t>
  </si>
  <si>
    <t xml:space="preserve">Normal approximation; variance evaluated at the baseline (p(1-p) or sigma^2).</t>
  </si>
  <si>
    <t xml:space="preserve">Audience size (N)</t>
  </si>
  <si>
    <t xml:space="preserve">Example value</t>
  </si>
  <si>
    <t xml:space="preserve">MDD = (z_alpha + z_power) x sqrt(var x (1/n_control + 1/n_treatment)).</t>
  </si>
  <si>
    <t xml:space="preserve">Share of audience measured (e.g. response rate)</t>
  </si>
  <si>
    <t xml:space="preserve">100% = whole audience enters the analysis</t>
  </si>
  <si>
    <t xml:space="preserve">Each treatment arm is compared with control (m = k-1); Bonferroni/Sidak adjust alpha per comparison.</t>
  </si>
  <si>
    <t xml:space="preserve">Baseline rate (proportion) or mean (continuous)</t>
  </si>
  <si>
    <t xml:space="preserve">Proportion: 0-1. Continuous: baseline mean</t>
  </si>
  <si>
    <t xml:space="preserve">One-tailed uses z(1-alpha); two-tailed uses z(1-alpha/2).</t>
  </si>
  <si>
    <t xml:space="preserve">Standard deviation (continuous only)</t>
  </si>
  <si>
    <t xml:space="preserve">Ignored for Proportion</t>
  </si>
  <si>
    <t xml:space="preserve">Reverse mode solves the same equation for N given the target lift.</t>
  </si>
  <si>
    <t xml:space="preserve">Number of groups k (incl. control)</t>
  </si>
  <si>
    <t xml:space="preserve">2 = classic A/B; 3+ = multi-arm</t>
  </si>
  <si>
    <t xml:space="preserve">Degrees of freedom are not an input: at marketing sample sizes t ~ z.</t>
  </si>
  <si>
    <t xml:space="preserve">Control share of audience (blank = equal split)</t>
  </si>
  <si>
    <t xml:space="preserve">e.g. 10% control / 90% treatment</t>
  </si>
  <si>
    <t xml:space="preserve">Example inputs (N = 200,000; baseline 5%; 80% power) are illustrative.</t>
  </si>
  <si>
    <t xml:space="preserve">Alpha</t>
  </si>
  <si>
    <t xml:space="preserve">Family-wise significance level</t>
  </si>
  <si>
    <t xml:space="preserve">Power (1 - beta)</t>
  </si>
  <si>
    <t xml:space="preserve">Test type</t>
  </si>
  <si>
    <t xml:space="preserve">Two-tailed</t>
  </si>
  <si>
    <t xml:space="preserve">One-tailed or Two-tailed</t>
  </si>
  <si>
    <t xml:space="preserve">Multiple-comparison correction</t>
  </si>
  <si>
    <t xml:space="preserve">Bonferroni</t>
  </si>
  <si>
    <t xml:space="preserve">Bonferroni / Sidak / None (applied across k-1 comparisons)</t>
  </si>
  <si>
    <t xml:space="preserve">Minimum useful relative lift</t>
  </si>
  <si>
    <t xml:space="preserve">Optional; used for feasibility verdict</t>
  </si>
  <si>
    <t xml:space="preserve">Target relative lift (reverse mode)</t>
  </si>
  <si>
    <t xml:space="preserve">Lift you want to be able to detect</t>
  </si>
  <si>
    <t xml:space="preserve">CALCULATIONS</t>
  </si>
  <si>
    <t xml:space="preserve">Comparisons m (treatment arms vs control)</t>
  </si>
  <si>
    <t xml:space="preserve">Alpha per comparison</t>
  </si>
  <si>
    <t xml:space="preserve">z (alpha)</t>
  </si>
  <si>
    <t xml:space="preserve">z (power)</t>
  </si>
  <si>
    <t xml:space="preserve">Control share used</t>
  </si>
  <si>
    <t xml:space="preserve">Analysed sample (N x share measured)</t>
  </si>
  <si>
    <t xml:space="preserve">n control</t>
  </si>
  <si>
    <t xml:space="preserve">n per treatment arm</t>
  </si>
  <si>
    <t xml:space="preserve">Variance per unit</t>
  </si>
  <si>
    <t xml:space="preserve">FORWARD MODE: WHAT CAN THIS AUDIENCE DETECT?</t>
  </si>
  <si>
    <t xml:space="preserve">MDD (absolute)</t>
  </si>
  <si>
    <t xml:space="preserve">MDD (relative to baseline)</t>
  </si>
  <si>
    <t xml:space="preserve">Verdict vs minimum useful lift</t>
  </si>
  <si>
    <t xml:space="preserve">REVERSE MODE: HOW BIG MUST THE AUDIENCE BE?</t>
  </si>
  <si>
    <t xml:space="preserve">Absolute lift to detect</t>
  </si>
  <si>
    <t xml:space="preserve">Analysed sample required</t>
  </si>
  <si>
    <t xml:space="preserve">n control required</t>
  </si>
  <si>
    <t xml:space="preserve">n per treatment arm required</t>
  </si>
  <si>
    <t xml:space="preserve">Total audience required</t>
  </si>
  <si>
    <t xml:space="preserve">Audience available / required</t>
  </si>
  <si>
    <t xml:space="preserve">Enough audience?</t>
  </si>
  <si>
    <t xml:space="preserve">FEASIBILITY BY NUMBER OF GROUPS (equal split; uses inputs above)</t>
  </si>
  <si>
    <t xml:space="preserve">Groups k</t>
  </si>
  <si>
    <t xml:space="preserve">Comparisons</t>
  </si>
  <si>
    <t xml:space="preserve">Alpha / comparison</t>
  </si>
  <si>
    <t xml:space="preserve">n per group</t>
  </si>
  <si>
    <t xml:space="preserve">MDD (relative)</t>
  </si>
  <si>
    <t xml:space="preserve">Feasible?</t>
  </si>
  <si>
    <t xml:space="preserve">Audience needed for target lift</t>
  </si>
  <si>
    <t xml:space="preserve">MDD vs AUDIENCE SIZE (current k and allocation)</t>
  </si>
  <si>
    <t xml:space="preserve">Audience multiplier</t>
  </si>
  <si>
    <t xml:space="preserve">Audience size</t>
  </si>
  <si>
    <t xml:space="preserve">Min useful lift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</si>
</sst>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#,##0"/>
    <numFmt numFmtId="166" formatCode="0.0%"/>
    <numFmt numFmtId="167" formatCode="0.0000"/>
    <numFmt numFmtId="168" formatCode="0.00"/>
    <numFmt numFmtId="169" formatCode="0"/>
    <numFmt numFmtId="170" formatCode="0.000"/>
    <numFmt numFmtId="171" formatCode="0.000000"/>
    <numFmt numFmtId="172" formatCode="0.00%"/>
    <numFmt numFmtId="173" formatCode="@"/>
    <numFmt numFmtId="174" formatCode="0%"/>
    <numFmt numFmtId="175" formatCode="0.0\x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10"/>
      <color rgb="FF7F7F7F"/>
      <name val="Arial"/>
      <family val="0"/>
      <charset val="1"/>
    </font>
    <font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9E1F2"/>
        <bgColor rgb="FFD9D9D9"/>
      </patternFill>
    </fill>
    <fill>
      <patternFill patternType="solid">
        <fgColor rgb="FFFFFF99"/>
        <bgColor rgb="FFFFFFCC"/>
      </patternFill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8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8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8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8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8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1" fillId="4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9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5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BE4B48"/>
      <rgbColor rgb="FFFFFFCC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33CCCC"/>
      <rgbColor rgb="FF99CC00"/>
      <rgbColor rgb="FFFFCC00"/>
      <rgbColor rgb="FFFF9900"/>
      <rgbColor rgb="FFFF6600"/>
      <rgbColor rgb="FF595959"/>
      <rgbColor rgb="FF878787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Relative MDD vs audience size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Calculator!C53</c:f>
              <c:strCache>
                <c:ptCount val="1"/>
                <c:pt idx="0">
                  <c:v>MDD (relative)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Calculator!$B$54:$B$73</c:f>
              <c:strCache>
                <c:ptCount val="20"/>
                <c:pt idx="0">
                  <c:v>20,000</c:v>
                </c:pt>
                <c:pt idx="1">
                  <c:v>40,000</c:v>
                </c:pt>
                <c:pt idx="2">
                  <c:v>60,000</c:v>
                </c:pt>
                <c:pt idx="3">
                  <c:v>80,000</c:v>
                </c:pt>
                <c:pt idx="4">
                  <c:v>100,000</c:v>
                </c:pt>
                <c:pt idx="5">
                  <c:v>120,000</c:v>
                </c:pt>
                <c:pt idx="6">
                  <c:v>140,000</c:v>
                </c:pt>
                <c:pt idx="7">
                  <c:v>160,000</c:v>
                </c:pt>
                <c:pt idx="8">
                  <c:v>180,000</c:v>
                </c:pt>
                <c:pt idx="9">
                  <c:v>200,000</c:v>
                </c:pt>
                <c:pt idx="10">
                  <c:v>220,000</c:v>
                </c:pt>
                <c:pt idx="11">
                  <c:v>240,000</c:v>
                </c:pt>
                <c:pt idx="12">
                  <c:v>260,000</c:v>
                </c:pt>
                <c:pt idx="13">
                  <c:v>280,000</c:v>
                </c:pt>
                <c:pt idx="14">
                  <c:v>300,000</c:v>
                </c:pt>
                <c:pt idx="15">
                  <c:v>320,000</c:v>
                </c:pt>
                <c:pt idx="16">
                  <c:v>340,000</c:v>
                </c:pt>
                <c:pt idx="17">
                  <c:v>360,000</c:v>
                </c:pt>
                <c:pt idx="18">
                  <c:v>380,000</c:v>
                </c:pt>
                <c:pt idx="19">
                  <c:v>400,000</c:v>
                </c:pt>
              </c:strCache>
            </c:strRef>
          </c:cat>
          <c:val>
            <c:numRef>
              <c:f>Calculator!$C$54:$C$73</c:f>
              <c:numCache>
                <c:formatCode>0.00%</c:formatCode>
                <c:ptCount val="20"/>
                <c:pt idx="0">
                  <c:v>0.172701311490465</c:v>
                </c:pt>
                <c:pt idx="1">
                  <c:v>0.122118268474718</c:v>
                </c:pt>
                <c:pt idx="2">
                  <c:v>0.0997091486784212</c:v>
                </c:pt>
                <c:pt idx="3">
                  <c:v>0.0863506557452324</c:v>
                </c:pt>
                <c:pt idx="4">
                  <c:v>0.0772343744592089</c:v>
                </c:pt>
                <c:pt idx="5">
                  <c:v>0.0705050151768493</c:v>
                </c:pt>
                <c:pt idx="6">
                  <c:v>0.0652749601854959</c:v>
                </c:pt>
                <c:pt idx="7">
                  <c:v>0.0610591342373589</c:v>
                </c:pt>
                <c:pt idx="8">
                  <c:v>0.0575671038301549</c:v>
                </c:pt>
                <c:pt idx="9">
                  <c:v>0.0546129499208077</c:v>
                </c:pt>
                <c:pt idx="10">
                  <c:v>0.0520714046378332</c:v>
                </c:pt>
                <c:pt idx="11">
                  <c:v>0.0498545743392106</c:v>
                </c:pt>
                <c:pt idx="12">
                  <c:v>0.0478987256860576</c:v>
                </c:pt>
                <c:pt idx="13">
                  <c:v>0.046156366988846</c:v>
                </c:pt>
                <c:pt idx="14">
                  <c:v>0.0445912868847166</c:v>
                </c:pt>
                <c:pt idx="15">
                  <c:v>0.0431753278726162</c:v>
                </c:pt>
                <c:pt idx="16">
                  <c:v>0.0418862205269343</c:v>
                </c:pt>
                <c:pt idx="17">
                  <c:v>0.0407060894915726</c:v>
                </c:pt>
                <c:pt idx="18">
                  <c:v>0.0396203981159934</c:v>
                </c:pt>
                <c:pt idx="19">
                  <c:v>0.0386171872296045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Calculator!D53</c:f>
              <c:strCache>
                <c:ptCount val="1"/>
                <c:pt idx="0">
                  <c:v>Min useful lift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Calculator!$B$54:$B$73</c:f>
              <c:strCache>
                <c:ptCount val="20"/>
                <c:pt idx="0">
                  <c:v>20,000</c:v>
                </c:pt>
                <c:pt idx="1">
                  <c:v>40,000</c:v>
                </c:pt>
                <c:pt idx="2">
                  <c:v>60,000</c:v>
                </c:pt>
                <c:pt idx="3">
                  <c:v>80,000</c:v>
                </c:pt>
                <c:pt idx="4">
                  <c:v>100,000</c:v>
                </c:pt>
                <c:pt idx="5">
                  <c:v>120,000</c:v>
                </c:pt>
                <c:pt idx="6">
                  <c:v>140,000</c:v>
                </c:pt>
                <c:pt idx="7">
                  <c:v>160,000</c:v>
                </c:pt>
                <c:pt idx="8">
                  <c:v>180,000</c:v>
                </c:pt>
                <c:pt idx="9">
                  <c:v>200,000</c:v>
                </c:pt>
                <c:pt idx="10">
                  <c:v>220,000</c:v>
                </c:pt>
                <c:pt idx="11">
                  <c:v>240,000</c:v>
                </c:pt>
                <c:pt idx="12">
                  <c:v>260,000</c:v>
                </c:pt>
                <c:pt idx="13">
                  <c:v>280,000</c:v>
                </c:pt>
                <c:pt idx="14">
                  <c:v>300,000</c:v>
                </c:pt>
                <c:pt idx="15">
                  <c:v>320,000</c:v>
                </c:pt>
                <c:pt idx="16">
                  <c:v>340,000</c:v>
                </c:pt>
                <c:pt idx="17">
                  <c:v>360,000</c:v>
                </c:pt>
                <c:pt idx="18">
                  <c:v>380,000</c:v>
                </c:pt>
                <c:pt idx="19">
                  <c:v>400,000</c:v>
                </c:pt>
              </c:strCache>
            </c:strRef>
          </c:cat>
          <c:val>
            <c:numRef>
              <c:f>Calculator!$D$54:$D$73</c:f>
              <c:numCache>
                <c:formatCode>0.00%</c:formatCode>
                <c:ptCount val="20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0.05</c:v>
                </c:pt>
                <c:pt idx="8">
                  <c:v>0.05</c:v>
                </c:pt>
                <c:pt idx="9">
                  <c:v>0.05</c:v>
                </c:pt>
                <c:pt idx="10">
                  <c:v>0.05</c:v>
                </c:pt>
                <c:pt idx="11">
                  <c:v>0.05</c:v>
                </c:pt>
                <c:pt idx="12">
                  <c:v>0.05</c:v>
                </c:pt>
                <c:pt idx="13">
                  <c:v>0.05</c:v>
                </c:pt>
                <c:pt idx="14">
                  <c:v>0.05</c:v>
                </c:pt>
                <c:pt idx="15">
                  <c:v>0.05</c:v>
                </c:pt>
                <c:pt idx="16">
                  <c:v>0.05</c:v>
                </c:pt>
                <c:pt idx="17">
                  <c:v>0.05</c:v>
                </c:pt>
                <c:pt idx="18">
                  <c:v>0.05</c:v>
                </c:pt>
                <c:pt idx="19">
                  <c:v>0.05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33940225"/>
        <c:axId val="10355901"/>
      </c:lineChart>
      <c:catAx>
        <c:axId val="3394022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Audience size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0355901"/>
        <c:crosses val="autoZero"/>
        <c:auto val="1"/>
        <c:lblAlgn val="ctr"/>
        <c:lblOffset val="100"/>
        <c:noMultiLvlLbl val="0"/>
      </c:catAx>
      <c:valAx>
        <c:axId val="1035590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Relative MDD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394022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49</xdr:row>
      <xdr:rowOff>145440</xdr:rowOff>
    </xdr:from>
    <xdr:to>
      <xdr:col>9</xdr:col>
      <xdr:colOff>966600</xdr:colOff>
      <xdr:row>65</xdr:row>
      <xdr:rowOff>157320</xdr:rowOff>
    </xdr:to>
    <xdr:graphicFrame>
      <xdr:nvGraphicFramePr>
        <xdr:cNvPr id="0" name="Chart 1"/>
        <xdr:cNvGraphicFramePr/>
      </xdr:nvGraphicFramePr>
      <xdr:xfrm>
        <a:off x="7894440" y="9715680"/>
        <a:ext cx="575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9" min="2" style="0" width="17"/>
    <col collapsed="false" customWidth="true" hidden="false" outlineLevel="0" max="10" min="10" style="0" width="6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  <c r="B3" s="4"/>
      <c r="C3" s="4"/>
      <c r="J3" s="5" t="s">
        <v>3</v>
      </c>
    </row>
    <row r="4" customFormat="false" ht="15" hidden="false" customHeight="false" outlineLevel="0" collapsed="false">
      <c r="A4" s="6" t="s">
        <v>4</v>
      </c>
      <c r="B4" s="7" t="s">
        <v>5</v>
      </c>
      <c r="C4" s="8" t="s">
        <v>6</v>
      </c>
      <c r="J4" s="9" t="s">
        <v>7</v>
      </c>
    </row>
    <row r="5" customFormat="false" ht="15" hidden="false" customHeight="false" outlineLevel="0" collapsed="false">
      <c r="A5" s="6" t="s">
        <v>8</v>
      </c>
      <c r="B5" s="10" t="n">
        <v>200000</v>
      </c>
      <c r="C5" s="8" t="s">
        <v>9</v>
      </c>
      <c r="J5" s="9" t="s">
        <v>10</v>
      </c>
    </row>
    <row r="6" customFormat="false" ht="22.35" hidden="false" customHeight="false" outlineLevel="0" collapsed="false">
      <c r="A6" s="6" t="s">
        <v>11</v>
      </c>
      <c r="B6" s="11" t="n">
        <v>1</v>
      </c>
      <c r="C6" s="8" t="s">
        <v>12</v>
      </c>
      <c r="J6" s="9" t="s">
        <v>13</v>
      </c>
    </row>
    <row r="7" customFormat="false" ht="15" hidden="false" customHeight="false" outlineLevel="0" collapsed="false">
      <c r="A7" s="6" t="s">
        <v>14</v>
      </c>
      <c r="B7" s="12" t="n">
        <v>0.05</v>
      </c>
      <c r="C7" s="8" t="s">
        <v>15</v>
      </c>
      <c r="J7" s="9" t="s">
        <v>16</v>
      </c>
    </row>
    <row r="8" customFormat="false" ht="15" hidden="false" customHeight="false" outlineLevel="0" collapsed="false">
      <c r="A8" s="6" t="s">
        <v>17</v>
      </c>
      <c r="B8" s="13" t="n">
        <v>50</v>
      </c>
      <c r="C8" s="8" t="s">
        <v>18</v>
      </c>
      <c r="J8" s="9" t="s">
        <v>19</v>
      </c>
    </row>
    <row r="9" customFormat="false" ht="15" hidden="false" customHeight="false" outlineLevel="0" collapsed="false">
      <c r="A9" s="6" t="s">
        <v>20</v>
      </c>
      <c r="B9" s="14" t="n">
        <v>2</v>
      </c>
      <c r="C9" s="8" t="s">
        <v>21</v>
      </c>
      <c r="J9" s="9" t="s">
        <v>22</v>
      </c>
    </row>
    <row r="10" customFormat="false" ht="15" hidden="false" customHeight="false" outlineLevel="0" collapsed="false">
      <c r="A10" s="6" t="s">
        <v>23</v>
      </c>
      <c r="B10" s="11"/>
      <c r="C10" s="8" t="s">
        <v>24</v>
      </c>
      <c r="J10" s="9" t="s">
        <v>25</v>
      </c>
    </row>
    <row r="11" customFormat="false" ht="15" hidden="false" customHeight="false" outlineLevel="0" collapsed="false">
      <c r="A11" s="6" t="s">
        <v>26</v>
      </c>
      <c r="B11" s="15" t="n">
        <v>0.05</v>
      </c>
      <c r="C11" s="8" t="s">
        <v>27</v>
      </c>
    </row>
    <row r="12" customFormat="false" ht="15" hidden="false" customHeight="false" outlineLevel="0" collapsed="false">
      <c r="A12" s="6" t="s">
        <v>28</v>
      </c>
      <c r="B12" s="15" t="n">
        <v>0.8</v>
      </c>
      <c r="C12" s="8"/>
    </row>
    <row r="13" customFormat="false" ht="15" hidden="false" customHeight="false" outlineLevel="0" collapsed="false">
      <c r="A13" s="6" t="s">
        <v>29</v>
      </c>
      <c r="B13" s="7" t="s">
        <v>30</v>
      </c>
      <c r="C13" s="8" t="s">
        <v>31</v>
      </c>
    </row>
    <row r="14" customFormat="false" ht="15" hidden="false" customHeight="false" outlineLevel="0" collapsed="false">
      <c r="A14" s="6" t="s">
        <v>32</v>
      </c>
      <c r="B14" s="7" t="s">
        <v>33</v>
      </c>
      <c r="C14" s="8" t="s">
        <v>34</v>
      </c>
    </row>
    <row r="15" customFormat="false" ht="15" hidden="false" customHeight="false" outlineLevel="0" collapsed="false">
      <c r="A15" s="6" t="s">
        <v>35</v>
      </c>
      <c r="B15" s="11" t="n">
        <v>0.05</v>
      </c>
      <c r="C15" s="8" t="s">
        <v>36</v>
      </c>
    </row>
    <row r="16" customFormat="false" ht="15" hidden="false" customHeight="false" outlineLevel="0" collapsed="false">
      <c r="A16" s="6" t="s">
        <v>37</v>
      </c>
      <c r="B16" s="11" t="n">
        <v>0.05</v>
      </c>
      <c r="C16" s="8" t="s">
        <v>38</v>
      </c>
    </row>
    <row r="18" customFormat="false" ht="15" hidden="false" customHeight="false" outlineLevel="0" collapsed="false">
      <c r="A18" s="3" t="s">
        <v>39</v>
      </c>
      <c r="B18" s="4"/>
      <c r="C18" s="4"/>
    </row>
    <row r="19" customFormat="false" ht="15" hidden="false" customHeight="false" outlineLevel="0" collapsed="false">
      <c r="A19" s="6" t="s">
        <v>40</v>
      </c>
      <c r="B19" s="16" t="n">
        <f aca="false">B9-1</f>
        <v>1</v>
      </c>
    </row>
    <row r="20" customFormat="false" ht="15" hidden="false" customHeight="false" outlineLevel="0" collapsed="false">
      <c r="A20" s="6" t="s">
        <v>41</v>
      </c>
      <c r="B20" s="17" t="n">
        <f aca="false">IF(B14="Bonferroni",B11/B19,IF(B14="Sidak",1-(1-B11)^(1/B19),B11))</f>
        <v>0.05</v>
      </c>
    </row>
    <row r="21" customFormat="false" ht="15" hidden="false" customHeight="false" outlineLevel="0" collapsed="false">
      <c r="A21" s="6" t="s">
        <v>42</v>
      </c>
      <c r="B21" s="17" t="n">
        <f aca="false">IF(B13="Two-tailed",NORMSINV(1-B20/2),NORMSINV(1-B20))</f>
        <v>1.95996398454005</v>
      </c>
    </row>
    <row r="22" customFormat="false" ht="15" hidden="false" customHeight="false" outlineLevel="0" collapsed="false">
      <c r="A22" s="6" t="s">
        <v>43</v>
      </c>
      <c r="B22" s="17" t="n">
        <f aca="false">NORMSINV(B12)</f>
        <v>0.841621233572914</v>
      </c>
    </row>
    <row r="23" customFormat="false" ht="15" hidden="false" customHeight="false" outlineLevel="0" collapsed="false">
      <c r="A23" s="6" t="s">
        <v>44</v>
      </c>
      <c r="B23" s="18" t="n">
        <f aca="false">IF(B10="",1/B9,B10)</f>
        <v>0.5</v>
      </c>
    </row>
    <row r="24" customFormat="false" ht="15" hidden="false" customHeight="false" outlineLevel="0" collapsed="false">
      <c r="A24" s="6" t="s">
        <v>45</v>
      </c>
      <c r="B24" s="19" t="n">
        <f aca="false">B5*B6</f>
        <v>200000</v>
      </c>
    </row>
    <row r="25" customFormat="false" ht="15" hidden="false" customHeight="false" outlineLevel="0" collapsed="false">
      <c r="A25" s="6" t="s">
        <v>46</v>
      </c>
      <c r="B25" s="19" t="n">
        <f aca="false">B24*B23</f>
        <v>100000</v>
      </c>
    </row>
    <row r="26" customFormat="false" ht="15" hidden="false" customHeight="false" outlineLevel="0" collapsed="false">
      <c r="A26" s="6" t="s">
        <v>47</v>
      </c>
      <c r="B26" s="19" t="n">
        <f aca="false">B24*(1-B23)/(B9-1)</f>
        <v>100000</v>
      </c>
    </row>
    <row r="27" customFormat="false" ht="15" hidden="false" customHeight="false" outlineLevel="0" collapsed="false">
      <c r="A27" s="6" t="s">
        <v>48</v>
      </c>
      <c r="B27" s="20" t="n">
        <f aca="false">IF(B4="Proportion",B7*(1-B7),B8^2)</f>
        <v>0.0475</v>
      </c>
    </row>
    <row r="29" customFormat="false" ht="15" hidden="false" customHeight="false" outlineLevel="0" collapsed="false">
      <c r="A29" s="3" t="s">
        <v>49</v>
      </c>
      <c r="B29" s="4"/>
      <c r="C29" s="4"/>
    </row>
    <row r="30" customFormat="false" ht="15" hidden="false" customHeight="false" outlineLevel="0" collapsed="false">
      <c r="A30" s="5" t="s">
        <v>50</v>
      </c>
      <c r="B30" s="21" t="n">
        <f aca="false">(B21+B22)*SQRT(B27*(1/B25+1/B26))</f>
        <v>0.00273064749604039</v>
      </c>
    </row>
    <row r="31" customFormat="false" ht="15" hidden="false" customHeight="false" outlineLevel="0" collapsed="false">
      <c r="A31" s="5" t="s">
        <v>51</v>
      </c>
      <c r="B31" s="22" t="n">
        <f aca="false">B30/B7</f>
        <v>0.0546129499208077</v>
      </c>
    </row>
    <row r="32" customFormat="false" ht="15" hidden="false" customHeight="false" outlineLevel="0" collapsed="false">
      <c r="A32" s="5" t="s">
        <v>52</v>
      </c>
      <c r="B32" s="23" t="str">
        <f aca="false">IF(B15="","n/a",IF(B31&lt;=B15,"Feasible","Not feasible"))</f>
        <v>Not feasible</v>
      </c>
    </row>
    <row r="34" customFormat="false" ht="15" hidden="false" customHeight="false" outlineLevel="0" collapsed="false">
      <c r="A34" s="3" t="s">
        <v>53</v>
      </c>
      <c r="B34" s="4"/>
      <c r="C34" s="4"/>
    </row>
    <row r="35" customFormat="false" ht="15" hidden="false" customHeight="false" outlineLevel="0" collapsed="false">
      <c r="A35" s="5" t="s">
        <v>54</v>
      </c>
      <c r="B35" s="21" t="n">
        <f aca="false">B16*B7</f>
        <v>0.0025</v>
      </c>
    </row>
    <row r="36" customFormat="false" ht="15" hidden="false" customHeight="false" outlineLevel="0" collapsed="false">
      <c r="A36" s="5" t="s">
        <v>55</v>
      </c>
      <c r="B36" s="24" t="n">
        <f aca="false">(B21+B22)^2*B27*(1/B23+(B9-1)/(1-B23))/B35^2</f>
        <v>238605.943924212</v>
      </c>
    </row>
    <row r="37" customFormat="false" ht="15" hidden="false" customHeight="false" outlineLevel="0" collapsed="false">
      <c r="A37" s="5" t="s">
        <v>56</v>
      </c>
      <c r="B37" s="24" t="n">
        <f aca="false">B36*B23</f>
        <v>119302.971962106</v>
      </c>
    </row>
    <row r="38" customFormat="false" ht="15" hidden="false" customHeight="false" outlineLevel="0" collapsed="false">
      <c r="A38" s="5" t="s">
        <v>57</v>
      </c>
      <c r="B38" s="24" t="n">
        <f aca="false">B36*(1-B23)/(B9-1)</f>
        <v>119302.971962106</v>
      </c>
    </row>
    <row r="39" customFormat="false" ht="15" hidden="false" customHeight="false" outlineLevel="0" collapsed="false">
      <c r="A39" s="5" t="s">
        <v>58</v>
      </c>
      <c r="B39" s="24" t="n">
        <f aca="false">B36/B6</f>
        <v>238605.943924212</v>
      </c>
    </row>
    <row r="40" customFormat="false" ht="15" hidden="false" customHeight="false" outlineLevel="0" collapsed="false">
      <c r="A40" s="5" t="s">
        <v>59</v>
      </c>
      <c r="B40" s="25" t="n">
        <f aca="false">B5/B39</f>
        <v>0.838202086296415</v>
      </c>
    </row>
    <row r="41" customFormat="false" ht="15" hidden="false" customHeight="false" outlineLevel="0" collapsed="false">
      <c r="A41" s="5" t="s">
        <v>60</v>
      </c>
      <c r="B41" s="23" t="str">
        <f aca="false">IF(B5&gt;=B39,"Yes","No")</f>
        <v>No</v>
      </c>
    </row>
    <row r="43" customFormat="false" ht="15" hidden="false" customHeight="false" outlineLevel="0" collapsed="false">
      <c r="A43" s="3" t="s">
        <v>61</v>
      </c>
      <c r="B43" s="4"/>
      <c r="C43" s="4"/>
    </row>
    <row r="44" customFormat="false" ht="23.85" hidden="false" customHeight="false" outlineLevel="0" collapsed="false">
      <c r="A44" s="26" t="s">
        <v>62</v>
      </c>
      <c r="B44" s="26" t="s">
        <v>63</v>
      </c>
      <c r="C44" s="26" t="s">
        <v>64</v>
      </c>
      <c r="D44" s="26" t="s">
        <v>42</v>
      </c>
      <c r="E44" s="26" t="s">
        <v>65</v>
      </c>
      <c r="F44" s="26" t="s">
        <v>50</v>
      </c>
      <c r="G44" s="26" t="s">
        <v>66</v>
      </c>
      <c r="H44" s="26" t="s">
        <v>67</v>
      </c>
      <c r="I44" s="26" t="s">
        <v>68</v>
      </c>
    </row>
    <row r="45" customFormat="false" ht="15" hidden="false" customHeight="false" outlineLevel="0" collapsed="false">
      <c r="A45" s="27" t="n">
        <v>2</v>
      </c>
      <c r="B45" s="27" t="n">
        <f aca="false">A45-1</f>
        <v>1</v>
      </c>
      <c r="C45" s="28" t="n">
        <f aca="false">IF($B$14="Bonferroni",$B$11/B45,IF($B$14="Sidak",1-(1-$B$11)^(1/B45),$B$11))</f>
        <v>0.05</v>
      </c>
      <c r="D45" s="28" t="n">
        <f aca="false">IF($B$13="Two-tailed",NORMSINV(1-C45/2),NORMSINV(1-C45))</f>
        <v>1.95996398454005</v>
      </c>
      <c r="E45" s="29" t="n">
        <f aca="false">$B$24/A45</f>
        <v>100000</v>
      </c>
      <c r="F45" s="28" t="n">
        <f aca="false">(D45+$B$22)*SQRT($B$27*2/E45)</f>
        <v>0.00273064749604039</v>
      </c>
      <c r="G45" s="30" t="n">
        <f aca="false">F45/$B$7</f>
        <v>0.0546129499208077</v>
      </c>
      <c r="H45" s="31" t="str">
        <f aca="false">IF($B$15="","n/a",IF(G45&lt;=$B$15,"Yes","No"))</f>
        <v>No</v>
      </c>
      <c r="I45" s="29" t="n">
        <f aca="false">(D45+$B$22)^2*$B$27*2*A45/$B$35^2/$B$6</f>
        <v>238605.943924212</v>
      </c>
    </row>
    <row r="46" customFormat="false" ht="15" hidden="false" customHeight="false" outlineLevel="0" collapsed="false">
      <c r="A46" s="27" t="n">
        <v>3</v>
      </c>
      <c r="B46" s="27" t="n">
        <f aca="false">A46-1</f>
        <v>2</v>
      </c>
      <c r="C46" s="28" t="n">
        <f aca="false">IF($B$14="Bonferroni",$B$11/B46,IF($B$14="Sidak",1-(1-$B$11)^(1/B46),$B$11))</f>
        <v>0.025</v>
      </c>
      <c r="D46" s="28" t="n">
        <f aca="false">IF($B$13="Two-tailed",NORMSINV(1-C46/2),NORMSINV(1-C46))</f>
        <v>2.24140272760495</v>
      </c>
      <c r="E46" s="29" t="n">
        <f aca="false">$B$24/A46</f>
        <v>66666.6666666667</v>
      </c>
      <c r="F46" s="28" t="n">
        <f aca="false">(D46+$B$22)*SQRT($B$27*2/E46)</f>
        <v>0.00368030941116443</v>
      </c>
      <c r="G46" s="30" t="n">
        <f aca="false">F46/$B$7</f>
        <v>0.0736061882232886</v>
      </c>
      <c r="H46" s="31" t="str">
        <f aca="false">IF($B$15="","n/a",IF(G46&lt;=$B$15,"Yes","No"))</f>
        <v>No</v>
      </c>
      <c r="I46" s="29" t="n">
        <f aca="false">(D46+$B$22)^2*$B$27*2*A46/$B$35^2/$B$6</f>
        <v>433429.675580975</v>
      </c>
    </row>
    <row r="47" customFormat="false" ht="15" hidden="false" customHeight="false" outlineLevel="0" collapsed="false">
      <c r="A47" s="27" t="n">
        <v>4</v>
      </c>
      <c r="B47" s="27" t="n">
        <f aca="false">A47-1</f>
        <v>3</v>
      </c>
      <c r="C47" s="28" t="n">
        <f aca="false">IF($B$14="Bonferroni",$B$11/B47,IF($B$14="Sidak",1-(1-$B$11)^(1/B47),$B$11))</f>
        <v>0.0166666666666667</v>
      </c>
      <c r="D47" s="28" t="n">
        <f aca="false">IF($B$13="Two-tailed",NORMSINV(1-C47/2),NORMSINV(1-C47))</f>
        <v>2.39397979981851</v>
      </c>
      <c r="E47" s="29" t="n">
        <f aca="false">$B$24/A47</f>
        <v>50000</v>
      </c>
      <c r="F47" s="28" t="n">
        <f aca="false">(D47+$B$22)*SQRT($B$27*2/E47)</f>
        <v>0.00445996823865809</v>
      </c>
      <c r="G47" s="30" t="n">
        <f aca="false">F47/$B$7</f>
        <v>0.0891993647731618</v>
      </c>
      <c r="H47" s="31" t="str">
        <f aca="false">IF($B$15="","n/a",IF(G47&lt;=$B$15,"Yes","No"))</f>
        <v>No</v>
      </c>
      <c r="I47" s="29" t="n">
        <f aca="false">(D47+$B$22)^2*$B$27*2*A47/$B$35^2/$B$6</f>
        <v>636522.134074846</v>
      </c>
    </row>
    <row r="48" customFormat="false" ht="15" hidden="false" customHeight="false" outlineLevel="0" collapsed="false">
      <c r="A48" s="27" t="n">
        <v>5</v>
      </c>
      <c r="B48" s="27" t="n">
        <f aca="false">A48-1</f>
        <v>4</v>
      </c>
      <c r="C48" s="28" t="n">
        <f aca="false">IF($B$14="Bonferroni",$B$11/B48,IF($B$14="Sidak",1-(1-$B$11)^(1/B48),$B$11))</f>
        <v>0.0125</v>
      </c>
      <c r="D48" s="28" t="n">
        <f aca="false">IF($B$13="Two-tailed",NORMSINV(1-C48/2),NORMSINV(1-C48))</f>
        <v>2.49770547441237</v>
      </c>
      <c r="E48" s="29" t="n">
        <f aca="false">$B$24/A48</f>
        <v>40000</v>
      </c>
      <c r="F48" s="28" t="n">
        <f aca="false">(D48+$B$22)*SQRT($B$27*2/E48)</f>
        <v>0.0051462480797982</v>
      </c>
      <c r="G48" s="30" t="n">
        <f aca="false">F48/$B$7</f>
        <v>0.102924961595964</v>
      </c>
      <c r="H48" s="31" t="str">
        <f aca="false">IF($B$15="","n/a",IF(G48&lt;=$B$15,"Yes","No"))</f>
        <v>No</v>
      </c>
      <c r="I48" s="29" t="n">
        <f aca="false">(D48+$B$22)^2*$B$27*2*A48/$B$35^2/$B$6</f>
        <v>847483.817562453</v>
      </c>
    </row>
    <row r="49" customFormat="false" ht="15" hidden="false" customHeight="false" outlineLevel="0" collapsed="false">
      <c r="A49" s="27" t="n">
        <v>6</v>
      </c>
      <c r="B49" s="27" t="n">
        <f aca="false">A49-1</f>
        <v>5</v>
      </c>
      <c r="C49" s="28" t="n">
        <f aca="false">IF($B$14="Bonferroni",$B$11/B49,IF($B$14="Sidak",1-(1-$B$11)^(1/B49),$B$11))</f>
        <v>0.01</v>
      </c>
      <c r="D49" s="28" t="n">
        <f aca="false">IF($B$13="Two-tailed",NORMSINV(1-C49/2),NORMSINV(1-C49))</f>
        <v>2.5758293035489</v>
      </c>
      <c r="E49" s="29" t="n">
        <f aca="false">$B$24/A49</f>
        <v>33333.3333333333</v>
      </c>
      <c r="F49" s="28" t="n">
        <f aca="false">(D49+$B$22)*SQRT($B$27*2/E49)</f>
        <v>0.00576932052281475</v>
      </c>
      <c r="G49" s="30" t="n">
        <f aca="false">F49/$B$7</f>
        <v>0.115386410456295</v>
      </c>
      <c r="H49" s="31" t="str">
        <f aca="false">IF($B$15="","n/a",IF(G49&lt;=$B$15,"Yes","No"))</f>
        <v>No</v>
      </c>
      <c r="I49" s="29" t="n">
        <f aca="false">(D49+$B$22)^2*$B$27*2*A49/$B$35^2/$B$6</f>
        <v>1065121.89743908</v>
      </c>
    </row>
    <row r="52" customFormat="false" ht="15" hidden="false" customHeight="false" outlineLevel="0" collapsed="false">
      <c r="A52" s="3" t="s">
        <v>69</v>
      </c>
      <c r="B52" s="4"/>
      <c r="C52" s="4"/>
    </row>
    <row r="53" customFormat="false" ht="15" hidden="false" customHeight="false" outlineLevel="0" collapsed="false">
      <c r="A53" s="32" t="s">
        <v>70</v>
      </c>
      <c r="B53" s="32" t="s">
        <v>71</v>
      </c>
      <c r="C53" s="32" t="s">
        <v>66</v>
      </c>
      <c r="D53" s="32" t="s">
        <v>72</v>
      </c>
    </row>
    <row r="54" customFormat="false" ht="15" hidden="false" customHeight="false" outlineLevel="0" collapsed="false">
      <c r="A54" s="33" t="n">
        <v>0.1</v>
      </c>
      <c r="B54" s="34" t="n">
        <f aca="false">$B$5*A54</f>
        <v>20000</v>
      </c>
      <c r="C54" s="35" t="n">
        <f aca="false">($B$21+$B$22)*SQRT($B$27*(1/(B54*$B$6*$B$23)+1/(B54*$B$6*(1-$B$23)/($B$9-1))))/$B$7</f>
        <v>0.172701311490465</v>
      </c>
      <c r="D54" s="35" t="n">
        <f aca="false">IF($B$15="",NA(),$B$15)</f>
        <v>0.05</v>
      </c>
    </row>
    <row r="55" customFormat="false" ht="15" hidden="false" customHeight="false" outlineLevel="0" collapsed="false">
      <c r="A55" s="33" t="n">
        <v>0.2</v>
      </c>
      <c r="B55" s="34" t="n">
        <f aca="false">$B$5*A55</f>
        <v>40000</v>
      </c>
      <c r="C55" s="35" t="n">
        <f aca="false">($B$21+$B$22)*SQRT($B$27*(1/(B55*$B$6*$B$23)+1/(B55*$B$6*(1-$B$23)/($B$9-1))))/$B$7</f>
        <v>0.122118268474718</v>
      </c>
      <c r="D55" s="35" t="n">
        <f aca="false">IF($B$15="",NA(),$B$15)</f>
        <v>0.05</v>
      </c>
    </row>
    <row r="56" customFormat="false" ht="15" hidden="false" customHeight="false" outlineLevel="0" collapsed="false">
      <c r="A56" s="33" t="n">
        <v>0.3</v>
      </c>
      <c r="B56" s="34" t="n">
        <f aca="false">$B$5*A56</f>
        <v>60000</v>
      </c>
      <c r="C56" s="35" t="n">
        <f aca="false">($B$21+$B$22)*SQRT($B$27*(1/(B56*$B$6*$B$23)+1/(B56*$B$6*(1-$B$23)/($B$9-1))))/$B$7</f>
        <v>0.0997091486784212</v>
      </c>
      <c r="D56" s="35" t="n">
        <f aca="false">IF($B$15="",NA(),$B$15)</f>
        <v>0.05</v>
      </c>
    </row>
    <row r="57" customFormat="false" ht="15" hidden="false" customHeight="false" outlineLevel="0" collapsed="false">
      <c r="A57" s="33" t="n">
        <v>0.4</v>
      </c>
      <c r="B57" s="34" t="n">
        <f aca="false">$B$5*A57</f>
        <v>80000</v>
      </c>
      <c r="C57" s="35" t="n">
        <f aca="false">($B$21+$B$22)*SQRT($B$27*(1/(B57*$B$6*$B$23)+1/(B57*$B$6*(1-$B$23)/($B$9-1))))/$B$7</f>
        <v>0.0863506557452324</v>
      </c>
      <c r="D57" s="35" t="n">
        <f aca="false">IF($B$15="",NA(),$B$15)</f>
        <v>0.05</v>
      </c>
    </row>
    <row r="58" customFormat="false" ht="15" hidden="false" customHeight="false" outlineLevel="0" collapsed="false">
      <c r="A58" s="33" t="n">
        <v>0.5</v>
      </c>
      <c r="B58" s="34" t="n">
        <f aca="false">$B$5*A58</f>
        <v>100000</v>
      </c>
      <c r="C58" s="35" t="n">
        <f aca="false">($B$21+$B$22)*SQRT($B$27*(1/(B58*$B$6*$B$23)+1/(B58*$B$6*(1-$B$23)/($B$9-1))))/$B$7</f>
        <v>0.0772343744592089</v>
      </c>
      <c r="D58" s="35" t="n">
        <f aca="false">IF($B$15="",NA(),$B$15)</f>
        <v>0.05</v>
      </c>
    </row>
    <row r="59" customFormat="false" ht="15" hidden="false" customHeight="false" outlineLevel="0" collapsed="false">
      <c r="A59" s="33" t="n">
        <v>0.6</v>
      </c>
      <c r="B59" s="34" t="n">
        <f aca="false">$B$5*A59</f>
        <v>120000</v>
      </c>
      <c r="C59" s="35" t="n">
        <f aca="false">($B$21+$B$22)*SQRT($B$27*(1/(B59*$B$6*$B$23)+1/(B59*$B$6*(1-$B$23)/($B$9-1))))/$B$7</f>
        <v>0.0705050151768493</v>
      </c>
      <c r="D59" s="35" t="n">
        <f aca="false">IF($B$15="",NA(),$B$15)</f>
        <v>0.05</v>
      </c>
    </row>
    <row r="60" customFormat="false" ht="15" hidden="false" customHeight="false" outlineLevel="0" collapsed="false">
      <c r="A60" s="33" t="n">
        <v>0.7</v>
      </c>
      <c r="B60" s="34" t="n">
        <f aca="false">$B$5*A60</f>
        <v>140000</v>
      </c>
      <c r="C60" s="35" t="n">
        <f aca="false">($B$21+$B$22)*SQRT($B$27*(1/(B60*$B$6*$B$23)+1/(B60*$B$6*(1-$B$23)/($B$9-1))))/$B$7</f>
        <v>0.0652749601854959</v>
      </c>
      <c r="D60" s="35" t="n">
        <f aca="false">IF($B$15="",NA(),$B$15)</f>
        <v>0.05</v>
      </c>
    </row>
    <row r="61" customFormat="false" ht="15" hidden="false" customHeight="false" outlineLevel="0" collapsed="false">
      <c r="A61" s="33" t="n">
        <v>0.8</v>
      </c>
      <c r="B61" s="34" t="n">
        <f aca="false">$B$5*A61</f>
        <v>160000</v>
      </c>
      <c r="C61" s="35" t="n">
        <f aca="false">($B$21+$B$22)*SQRT($B$27*(1/(B61*$B$6*$B$23)+1/(B61*$B$6*(1-$B$23)/($B$9-1))))/$B$7</f>
        <v>0.0610591342373589</v>
      </c>
      <c r="D61" s="35" t="n">
        <f aca="false">IF($B$15="",NA(),$B$15)</f>
        <v>0.05</v>
      </c>
    </row>
    <row r="62" customFormat="false" ht="15" hidden="false" customHeight="false" outlineLevel="0" collapsed="false">
      <c r="A62" s="33" t="n">
        <v>0.9</v>
      </c>
      <c r="B62" s="34" t="n">
        <f aca="false">$B$5*A62</f>
        <v>180000</v>
      </c>
      <c r="C62" s="35" t="n">
        <f aca="false">($B$21+$B$22)*SQRT($B$27*(1/(B62*$B$6*$B$23)+1/(B62*$B$6*(1-$B$23)/($B$9-1))))/$B$7</f>
        <v>0.0575671038301549</v>
      </c>
      <c r="D62" s="35" t="n">
        <f aca="false">IF($B$15="",NA(),$B$15)</f>
        <v>0.05</v>
      </c>
    </row>
    <row r="63" customFormat="false" ht="15" hidden="false" customHeight="false" outlineLevel="0" collapsed="false">
      <c r="A63" s="33" t="n">
        <v>1</v>
      </c>
      <c r="B63" s="34" t="n">
        <f aca="false">$B$5*A63</f>
        <v>200000</v>
      </c>
      <c r="C63" s="35" t="n">
        <f aca="false">($B$21+$B$22)*SQRT($B$27*(1/(B63*$B$6*$B$23)+1/(B63*$B$6*(1-$B$23)/($B$9-1))))/$B$7</f>
        <v>0.0546129499208077</v>
      </c>
      <c r="D63" s="35" t="n">
        <f aca="false">IF($B$15="",NA(),$B$15)</f>
        <v>0.05</v>
      </c>
    </row>
    <row r="64" customFormat="false" ht="15" hidden="false" customHeight="false" outlineLevel="0" collapsed="false">
      <c r="A64" s="33" t="n">
        <v>1.1</v>
      </c>
      <c r="B64" s="34" t="n">
        <f aca="false">$B$5*A64</f>
        <v>220000</v>
      </c>
      <c r="C64" s="35" t="n">
        <f aca="false">($B$21+$B$22)*SQRT($B$27*(1/(B64*$B$6*$B$23)+1/(B64*$B$6*(1-$B$23)/($B$9-1))))/$B$7</f>
        <v>0.0520714046378332</v>
      </c>
      <c r="D64" s="35" t="n">
        <f aca="false">IF($B$15="",NA(),$B$15)</f>
        <v>0.05</v>
      </c>
    </row>
    <row r="65" customFormat="false" ht="15" hidden="false" customHeight="false" outlineLevel="0" collapsed="false">
      <c r="A65" s="33" t="n">
        <v>1.2</v>
      </c>
      <c r="B65" s="34" t="n">
        <f aca="false">$B$5*A65</f>
        <v>240000</v>
      </c>
      <c r="C65" s="35" t="n">
        <f aca="false">($B$21+$B$22)*SQRT($B$27*(1/(B65*$B$6*$B$23)+1/(B65*$B$6*(1-$B$23)/($B$9-1))))/$B$7</f>
        <v>0.0498545743392106</v>
      </c>
      <c r="D65" s="35" t="n">
        <f aca="false">IF($B$15="",NA(),$B$15)</f>
        <v>0.05</v>
      </c>
    </row>
    <row r="66" customFormat="false" ht="15" hidden="false" customHeight="false" outlineLevel="0" collapsed="false">
      <c r="A66" s="33" t="n">
        <v>1.3</v>
      </c>
      <c r="B66" s="34" t="n">
        <f aca="false">$B$5*A66</f>
        <v>260000</v>
      </c>
      <c r="C66" s="35" t="n">
        <f aca="false">($B$21+$B$22)*SQRT($B$27*(1/(B66*$B$6*$B$23)+1/(B66*$B$6*(1-$B$23)/($B$9-1))))/$B$7</f>
        <v>0.0478987256860576</v>
      </c>
      <c r="D66" s="35" t="n">
        <f aca="false">IF($B$15="",NA(),$B$15)</f>
        <v>0.05</v>
      </c>
    </row>
    <row r="67" customFormat="false" ht="15" hidden="false" customHeight="false" outlineLevel="0" collapsed="false">
      <c r="A67" s="33" t="n">
        <v>1.4</v>
      </c>
      <c r="B67" s="34" t="n">
        <f aca="false">$B$5*A67</f>
        <v>280000</v>
      </c>
      <c r="C67" s="35" t="n">
        <f aca="false">($B$21+$B$22)*SQRT($B$27*(1/(B67*$B$6*$B$23)+1/(B67*$B$6*(1-$B$23)/($B$9-1))))/$B$7</f>
        <v>0.046156366988846</v>
      </c>
      <c r="D67" s="35" t="n">
        <f aca="false">IF($B$15="",NA(),$B$15)</f>
        <v>0.05</v>
      </c>
    </row>
    <row r="68" customFormat="false" ht="15" hidden="false" customHeight="false" outlineLevel="0" collapsed="false">
      <c r="A68" s="33" t="n">
        <v>1.5</v>
      </c>
      <c r="B68" s="34" t="n">
        <f aca="false">$B$5*A68</f>
        <v>300000</v>
      </c>
      <c r="C68" s="35" t="n">
        <f aca="false">($B$21+$B$22)*SQRT($B$27*(1/(B68*$B$6*$B$23)+1/(B68*$B$6*(1-$B$23)/($B$9-1))))/$B$7</f>
        <v>0.0445912868847166</v>
      </c>
      <c r="D68" s="35" t="n">
        <f aca="false">IF($B$15="",NA(),$B$15)</f>
        <v>0.05</v>
      </c>
    </row>
    <row r="69" customFormat="false" ht="15" hidden="false" customHeight="false" outlineLevel="0" collapsed="false">
      <c r="A69" s="33" t="n">
        <v>1.6</v>
      </c>
      <c r="B69" s="34" t="n">
        <f aca="false">$B$5*A69</f>
        <v>320000</v>
      </c>
      <c r="C69" s="35" t="n">
        <f aca="false">($B$21+$B$22)*SQRT($B$27*(1/(B69*$B$6*$B$23)+1/(B69*$B$6*(1-$B$23)/($B$9-1))))/$B$7</f>
        <v>0.0431753278726162</v>
      </c>
      <c r="D69" s="35" t="n">
        <f aca="false">IF($B$15="",NA(),$B$15)</f>
        <v>0.05</v>
      </c>
    </row>
    <row r="70" customFormat="false" ht="15" hidden="false" customHeight="false" outlineLevel="0" collapsed="false">
      <c r="A70" s="33" t="n">
        <v>1.7</v>
      </c>
      <c r="B70" s="34" t="n">
        <f aca="false">$B$5*A70</f>
        <v>340000</v>
      </c>
      <c r="C70" s="35" t="n">
        <f aca="false">($B$21+$B$22)*SQRT($B$27*(1/(B70*$B$6*$B$23)+1/(B70*$B$6*(1-$B$23)/($B$9-1))))/$B$7</f>
        <v>0.0418862205269343</v>
      </c>
      <c r="D70" s="35" t="n">
        <f aca="false">IF($B$15="",NA(),$B$15)</f>
        <v>0.05</v>
      </c>
    </row>
    <row r="71" customFormat="false" ht="15" hidden="false" customHeight="false" outlineLevel="0" collapsed="false">
      <c r="A71" s="33" t="n">
        <v>1.8</v>
      </c>
      <c r="B71" s="34" t="n">
        <f aca="false">$B$5*A71</f>
        <v>360000</v>
      </c>
      <c r="C71" s="35" t="n">
        <f aca="false">($B$21+$B$22)*SQRT($B$27*(1/(B71*$B$6*$B$23)+1/(B71*$B$6*(1-$B$23)/($B$9-1))))/$B$7</f>
        <v>0.0407060894915726</v>
      </c>
      <c r="D71" s="35" t="n">
        <f aca="false">IF($B$15="",NA(),$B$15)</f>
        <v>0.05</v>
      </c>
    </row>
    <row r="72" customFormat="false" ht="15" hidden="false" customHeight="false" outlineLevel="0" collapsed="false">
      <c r="A72" s="33" t="n">
        <v>1.9</v>
      </c>
      <c r="B72" s="34" t="n">
        <f aca="false">$B$5*A72</f>
        <v>380000</v>
      </c>
      <c r="C72" s="35" t="n">
        <f aca="false">($B$21+$B$22)*SQRT($B$27*(1/(B72*$B$6*$B$23)+1/(B72*$B$6*(1-$B$23)/($B$9-1))))/$B$7</f>
        <v>0.0396203981159934</v>
      </c>
      <c r="D72" s="35" t="n">
        <f aca="false">IF($B$15="",NA(),$B$15)</f>
        <v>0.05</v>
      </c>
    </row>
    <row r="73" customFormat="false" ht="15" hidden="false" customHeight="false" outlineLevel="0" collapsed="false">
      <c r="A73" s="33" t="n">
        <v>2</v>
      </c>
      <c r="B73" s="34" t="n">
        <f aca="false">$B$5*A73</f>
        <v>400000</v>
      </c>
      <c r="C73" s="35" t="n">
        <f aca="false">($B$21+$B$22)*SQRT($B$27*(1/(B73*$B$6*$B$23)+1/(B73*$B$6*(1-$B$23)/($B$9-1))))/$B$7</f>
        <v>0.0386171872296045</v>
      </c>
      <c r="D73" s="35" t="n">
        <f aca="false">IF($B$15="",NA(),$B$15)</f>
        <v>0.05</v>
      </c>
    </row>
  </sheetData>
  <dataValidations count="3">
    <dataValidation allowBlank="false" errorStyle="stop" operator="between" showDropDown="false" showErrorMessage="false" showInputMessage="false" sqref="B4" type="list">
      <formula1>"Proportion,Continuous"</formula1>
      <formula2>0</formula2>
    </dataValidation>
    <dataValidation allowBlank="false" errorStyle="stop" operator="between" showDropDown="false" showErrorMessage="false" showInputMessage="false" sqref="B13" type="list">
      <formula1>"Two-tailed,One-tailed"</formula1>
      <formula2>0</formula2>
    </dataValidation>
    <dataValidation allowBlank="false" errorStyle="stop" operator="between" showDropDown="false" showErrorMessage="false" showInputMessage="false" sqref="B14" type="list">
      <formula1>"Bonferroni,Sidak,None"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2026-09-29T20:55:14Z</dcterms:created>
  <dc:creator>openpyxl</dc:creator>
  <dc:description/>
  <dc:language>en-US</dc:language>
  <cp:lastModifiedBy/>
  <dcterms:modified xsi:type="dcterms:W3CDTF">2026-09-29T20:55:16Z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